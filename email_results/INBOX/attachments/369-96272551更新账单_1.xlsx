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应收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<sst xmlns="http://schemas.openxmlformats.org/spreadsheetml/2006/main" count="47" uniqueCount="47">
  <si>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应收费用单</t>
  </si>
  <si>
    <t>TO:</t>
  </si>
  <si>
    <t>NBYBWL</t>
  </si>
  <si>
    <t/>
  </si>
  <si>
    <t>序号</t>
  </si>
  <si>
    <t>签入日期</t>
  </si>
  <si>
    <t>运单号</t>
  </si>
  <si>
    <t>服务商单号</t>
  </si>
  <si>
    <t>销售产品</t>
  </si>
  <si>
    <t>目的国</t>
  </si>
  <si>
    <t>目的港</t>
  </si>
  <si>
    <t>件数</t>
  </si>
  <si>
    <t>实重</t>
  </si>
  <si>
    <t>材积重</t>
  </si>
  <si>
    <t>长</t>
  </si>
  <si>
    <t>宽</t>
  </si>
  <si>
    <t>高</t>
  </si>
  <si>
    <t>体积</t>
  </si>
  <si>
    <t>箱数</t>
  </si>
  <si>
    <t>计费重/6000分半泡</t>
  </si>
  <si>
    <t>运费</t>
  </si>
  <si>
    <t>过港费</t>
  </si>
  <si>
    <t>国内提货费</t>
  </si>
  <si>
    <t>单证费</t>
  </si>
  <si>
    <t>合计应收（HKD)</t>
  </si>
  <si>
    <t>汇率</t>
  </si>
  <si>
    <t>合计应收（RMB)</t>
  </si>
  <si>
    <t>备注</t>
  </si>
  <si>
    <t>D251100985</t>
  </si>
  <si>
    <t>369-96272551</t>
  </si>
  <si>
    <t>香港-迈阿密项目货</t>
  </si>
  <si>
    <t>美国</t>
  </si>
  <si>
    <t>迈阿密</t>
  </si>
  <si>
    <t>HKD56.5/KGS+提貨費:HKD600+手續費:HKD200+公倉登記費:HKD500</t>
  </si>
  <si>
    <t>合计</t>
  </si>
  <si>
    <t>RMB250</t>
  </si>
  <si>
    <t>RMB1.0/KGS /RMB150/CBM</t>
  </si>
  <si>
    <t>RMB100/BL（如需我司代为整理过港报关资料）</t>
  </si>
  <si>
    <t>附我司帐户：</t>
  </si>
  <si>
    <t>合计（RMB)</t>
  </si>
  <si>
    <t>公司名称： 深圳市嘀嗒嘀物流科技有限公司</t>
  </si>
  <si>
    <t>开户行名称:   中国银行深圳国贸支行</t>
  </si>
  <si>
    <t>公司账户:    758874458973  （RMB）</t>
  </si>
  <si>
    <t>我司开具的发票项目统一填写为：经济代理服务*代理国际运费，不开具其他项目明细；</t>
  </si>
  <si>
    <t>如贵司对开票项目有特殊要求的，请确认费用时特别说明，发票一经开出，不轻易更改；如需更改，需加收200元操作费；</t>
  </si>
  <si>
    <t>1.尊敬的客户，收到我司账单后请尽快核对，如有疑问请联系发账单同事。三天内不回复，则当默认无误。</t>
  </si>
  <si>
    <t>2.请及时付款并提供水单，汇款时，请注明我司工作单号，并请确保我司实际到账金额与对账金额一致！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</si>
</sst>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&quot;月&quot;d&quot;日&quot;;@"/>
    <numFmt numFmtId="178" formatCode="m/d;@"/>
    <numFmt numFmtId="179" formatCode="[$-409]d/mmm;@"/>
    <numFmt numFmtId="180" formatCode="0.00_);\(0.00\)"/>
  </numFmts>
  <fonts count="37">
    <font>
      <sz val="11"/>
      <color indexed="8"/>
      <name val="宋体"/>
      <charset val="134"/>
      <scheme val="minor"/>
    </font>
    <font>
      <b/>
      <sz val="22"/>
      <color indexed="8"/>
      <name val="宋体"/>
      <charset val="134"/>
    </font>
    <font>
      <b/>
      <sz val="11"/>
      <color indexed="8"/>
      <name val="Calibri"/>
      <charset val="134"/>
    </font>
    <font>
      <b/>
      <sz val="11"/>
      <color rgb="FFFF0000"/>
      <name val="宋体"/>
      <charset val="134"/>
    </font>
    <font>
      <b/>
      <sz val="9"/>
      <color indexed="10"/>
      <name val="微软雅黑"/>
      <charset val="134"/>
    </font>
    <font>
      <sz val="9"/>
      <color indexed="8"/>
      <name val="微软雅黑"/>
      <charset val="134"/>
    </font>
    <font>
      <b/>
      <sz val="10"/>
      <color indexed="8"/>
      <name val="微软雅黑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宋体"/>
      <charset val="134"/>
    </font>
    <font>
      <sz val="9"/>
      <color indexed="10"/>
      <name val="微软雅黑"/>
      <charset val="134"/>
    </font>
    <font>
      <sz val="10"/>
      <color indexed="8"/>
      <name val="微软雅黑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8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6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shrinkToFit="1"/>
    </xf>
    <xf numFmtId="178" fontId="6" fillId="2" borderId="1" xfId="0" applyNumberFormat="1" applyFont="1" applyFill="1" applyBorder="1" applyAlignment="1">
      <alignment horizontal="center" vertical="center" wrapText="1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0" fontId="6" fillId="2" borderId="2" xfId="0" applyNumberFormat="1" applyFont="1" applyFill="1" applyBorder="1" applyAlignment="1">
      <alignment horizontal="center" vertical="center" shrinkToFit="1"/>
    </xf>
    <xf numFmtId="179" fontId="6" fillId="2" borderId="1" xfId="0" applyNumberFormat="1" applyFont="1" applyFill="1" applyBorder="1" applyAlignment="1">
      <alignment horizontal="center" vertical="center" wrapText="1" shrinkToFit="1"/>
    </xf>
    <xf numFmtId="49" fontId="6" fillId="2" borderId="1" xfId="0" applyNumberFormat="1" applyFont="1" applyFill="1" applyBorder="1" applyAlignment="1">
      <alignment horizontal="center" vertical="center" wrapText="1" shrinkToFit="1"/>
    </xf>
    <xf numFmtId="0" fontId="7" fillId="0" borderId="3" xfId="0" applyNumberFormat="1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left" wrapText="1"/>
    </xf>
    <xf numFmtId="0" fontId="11" fillId="0" borderId="7" xfId="0" applyNumberFormat="1" applyFont="1" applyFill="1" applyBorder="1" applyAlignment="1">
      <alignment horizontal="center" wrapText="1"/>
    </xf>
    <xf numFmtId="0" fontId="5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horizontal="left" wrapText="1"/>
    </xf>
    <xf numFmtId="0" fontId="10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wrapText="1"/>
    </xf>
    <xf numFmtId="0" fontId="12" fillId="0" borderId="6" xfId="0" applyNumberFormat="1" applyFont="1" applyFill="1" applyBorder="1" applyAlignment="1">
      <alignment horizontal="left" wrapText="1"/>
    </xf>
    <xf numFmtId="0" fontId="12" fillId="0" borderId="7" xfId="0" applyNumberFormat="1" applyFont="1" applyFill="1" applyBorder="1" applyAlignment="1">
      <alignment horizontal="center" wrapText="1"/>
    </xf>
    <xf numFmtId="0" fontId="12" fillId="0" borderId="8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left" wrapText="1"/>
    </xf>
    <xf numFmtId="0" fontId="5" fillId="0" borderId="7" xfId="0" applyNumberFormat="1" applyFont="1" applyFill="1" applyBorder="1" applyAlignment="1">
      <alignment horizontal="center" wrapText="1"/>
    </xf>
    <xf numFmtId="0" fontId="5" fillId="0" borderId="8" xfId="0" applyNumberFormat="1" applyFont="1" applyFill="1" applyBorder="1" applyAlignment="1">
      <alignment horizont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 shrinkToFit="1"/>
    </xf>
    <xf numFmtId="0" fontId="5" fillId="0" borderId="9" xfId="0" applyNumberFormat="1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wrapText="1"/>
    </xf>
    <xf numFmtId="176" fontId="5" fillId="0" borderId="0" xfId="0" applyNumberFormat="1" applyFont="1" applyFill="1" applyBorder="1" applyAlignment="1">
      <alignment horizontal="center" vertical="top" wrapText="1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1" xfId="0" applyNumberFormat="1" applyFont="1" applyFill="1" applyBorder="1" applyAlignment="1">
      <alignment horizontal="center" vertical="center" wrapText="1" shrinkToFit="1"/>
    </xf>
    <xf numFmtId="176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 vertical="center"/>
    </xf>
    <xf numFmtId="0" fontId="16" fillId="0" borderId="1" xfId="0" applyNumberFormat="1" applyFont="1" applyFill="1" applyBorder="1" applyAlignment="1">
      <alignment vertical="center"/>
    </xf>
    <xf numFmtId="176" fontId="16" fillId="0" borderId="1" xfId="0" applyNumberFormat="1" applyFont="1" applyFill="1" applyBorder="1" applyAlignment="1">
      <alignment horizontal="right" vertical="center"/>
    </xf>
    <xf numFmtId="0" fontId="16" fillId="0" borderId="1" xfId="0" applyNumberFormat="1" applyFont="1" applyFill="1" applyBorder="1">
      <alignment vertical="center"/>
    </xf>
    <xf numFmtId="0" fontId="10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68580</xdr:rowOff>
    </xdr:from>
    <xdr:to>
      <xdr:col>2</xdr:col>
      <xdr:colOff>511810</xdr:colOff>
      <xdr:row>1</xdr:row>
      <xdr:rowOff>304800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8580"/>
          <a:ext cx="1759585" cy="794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1"/>
  <sheetViews>
    <sheetView tabSelected="1" topLeftCell="F1" workbookViewId="0">
      <selection activeCell="U26" sqref="U26"/>
    </sheetView>
  </sheetViews>
  <sheetFormatPr defaultColWidth="9" defaultRowHeight="13.5"/>
  <cols>
    <col min="1" max="1" width="4.25" customWidth="1"/>
    <col min="2" max="2" width="12.25" customWidth="1"/>
    <col min="3" max="4" width="13.75" customWidth="1"/>
    <col min="5" max="5" width="18.25" customWidth="1"/>
    <col min="6" max="6" width="8.10833333333333" customWidth="1"/>
    <col min="7" max="7" width="8" customWidth="1"/>
    <col min="8" max="9" width="7.55833333333333" customWidth="1"/>
    <col min="10" max="10" width="8" style="2" customWidth="1"/>
    <col min="11" max="11" width="9.875" style="1" customWidth="1"/>
    <col min="12" max="15" width="8" style="1" customWidth="1"/>
    <col min="16" max="16" width="11.5" customWidth="1"/>
    <col min="17" max="17" width="9.375" customWidth="1"/>
    <col min="18" max="18" width="7.375" customWidth="1"/>
    <col min="19" max="19" width="10.625" customWidth="1"/>
    <col min="20" max="20" width="8.875" customWidth="1"/>
    <col min="21" max="22" width="9.75" customWidth="1"/>
    <col min="23" max="23" width="10.375" customWidth="1"/>
    <col min="24" max="24" width="76.125" customWidth="1"/>
    <col min="25" max="25" width="9" customWidth="1"/>
  </cols>
  <sheetData>
    <row r="1" ht="43.95" customHeight="1" spans="1:24">
      <c r="A1" s="3"/>
      <c r="B1" s="3"/>
      <c r="C1" s="3"/>
      <c r="D1" s="3"/>
      <c r="E1" s="3"/>
      <c r="F1" s="3"/>
      <c r="G1" s="3"/>
      <c r="H1" s="3"/>
      <c r="I1" s="3"/>
      <c r="J1" s="40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7.0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4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8.95" customHeight="1" spans="1:23">
      <c r="A3" s="4" t="s">
        <v>1</v>
      </c>
      <c r="B3" s="5" t="s">
        <v>2</v>
      </c>
      <c r="C3" s="6" t="s">
        <v>3</v>
      </c>
      <c r="D3" s="6"/>
      <c r="E3" s="7"/>
      <c r="F3" s="7"/>
      <c r="G3" s="7"/>
      <c r="H3" s="7"/>
      <c r="I3" s="7"/>
      <c r="J3" s="4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36" customHeight="1" spans="1:24">
      <c r="A4" s="8" t="s">
        <v>4</v>
      </c>
      <c r="B4" s="8" t="s">
        <v>5</v>
      </c>
      <c r="C4" s="9" t="s">
        <v>6</v>
      </c>
      <c r="D4" s="10" t="s">
        <v>7</v>
      </c>
      <c r="E4" s="11" t="s">
        <v>8</v>
      </c>
      <c r="F4" s="12" t="s">
        <v>9</v>
      </c>
      <c r="G4" s="12" t="s">
        <v>10</v>
      </c>
      <c r="H4" s="13" t="s">
        <v>11</v>
      </c>
      <c r="I4" s="13" t="s">
        <v>12</v>
      </c>
      <c r="J4" s="42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55" t="s">
        <v>21</v>
      </c>
      <c r="S4" s="55" t="s">
        <v>22</v>
      </c>
      <c r="T4" s="55" t="s">
        <v>23</v>
      </c>
      <c r="U4" s="55" t="s">
        <v>24</v>
      </c>
      <c r="V4" s="55" t="s">
        <v>25</v>
      </c>
      <c r="W4" s="56" t="s">
        <v>26</v>
      </c>
      <c r="X4" s="57" t="s">
        <v>27</v>
      </c>
    </row>
    <row r="5" s="1" customFormat="1" ht="14.4" customHeight="1" spans="1:24">
      <c r="A5" s="14">
        <v>1</v>
      </c>
      <c r="B5" s="15">
        <v>45950</v>
      </c>
      <c r="C5" s="16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6">
        <v>21</v>
      </c>
      <c r="I5" s="43">
        <v>376</v>
      </c>
      <c r="J5" s="44">
        <f>(K5*L5*M5)/6000*O5</f>
        <v>191.675</v>
      </c>
      <c r="K5" s="45">
        <v>110</v>
      </c>
      <c r="L5" s="45">
        <v>51</v>
      </c>
      <c r="M5" s="45">
        <v>41</v>
      </c>
      <c r="N5" s="44">
        <f>ROUND(K5*L5*M5/1000000*O5,2)</f>
        <v>1.15</v>
      </c>
      <c r="O5" s="45">
        <v>5</v>
      </c>
      <c r="P5" s="44">
        <f>(493.843-I5)*0.5+I5</f>
        <v>434.9215</v>
      </c>
      <c r="Q5" s="58">
        <f>24572.98+600+200+500</f>
        <v>25872.98</v>
      </c>
      <c r="R5" s="58">
        <v>0</v>
      </c>
      <c r="S5" s="58">
        <v>0</v>
      </c>
      <c r="T5" s="58">
        <v>0</v>
      </c>
      <c r="U5" s="58">
        <f>Q5</f>
        <v>25872.98</v>
      </c>
      <c r="V5" s="59">
        <v>0.9176</v>
      </c>
      <c r="W5" s="58">
        <f>U5/V5</f>
        <v>28196.3600697472</v>
      </c>
      <c r="X5" s="60" t="s">
        <v>33</v>
      </c>
    </row>
    <row r="6" ht="15.6" customHeight="1" spans="1:24">
      <c r="A6" s="17" t="s">
        <v>34</v>
      </c>
      <c r="B6" s="18"/>
      <c r="C6" s="18"/>
      <c r="D6" s="18"/>
      <c r="E6" s="18"/>
      <c r="F6" s="18"/>
      <c r="G6" s="18"/>
      <c r="H6" s="18"/>
      <c r="I6" s="18"/>
      <c r="J6" s="44">
        <f t="shared" ref="J5:J8" si="0">(K6*L6*M6)/6000*O6</f>
        <v>260</v>
      </c>
      <c r="K6" s="45">
        <v>60</v>
      </c>
      <c r="L6" s="45">
        <v>50</v>
      </c>
      <c r="M6" s="45">
        <v>40</v>
      </c>
      <c r="N6" s="44">
        <f t="shared" ref="N5:N8" si="1">ROUND(K6*L6*M6/1000000*O6,2)</f>
        <v>1.56</v>
      </c>
      <c r="O6" s="45">
        <v>13</v>
      </c>
      <c r="P6" s="44"/>
      <c r="Q6" s="58">
        <v>0</v>
      </c>
      <c r="R6" s="58">
        <v>0</v>
      </c>
      <c r="S6" s="44">
        <v>250</v>
      </c>
      <c r="T6" s="58">
        <v>0</v>
      </c>
      <c r="U6" s="44">
        <v>0</v>
      </c>
      <c r="V6" s="44">
        <v>1</v>
      </c>
      <c r="W6" s="58">
        <f t="shared" ref="W6:W8" si="2">Q6+R6+S6+T6</f>
        <v>250</v>
      </c>
      <c r="X6" s="61" t="s">
        <v>35</v>
      </c>
    </row>
    <row r="7" ht="14.4" customHeight="1" spans="1:24">
      <c r="A7" s="19"/>
      <c r="B7" s="7"/>
      <c r="C7" s="7"/>
      <c r="D7" s="7"/>
      <c r="E7" s="7"/>
      <c r="F7" s="7"/>
      <c r="G7" s="7"/>
      <c r="H7" s="7"/>
      <c r="I7" s="7"/>
      <c r="J7" s="44">
        <f t="shared" si="0"/>
        <v>26.418</v>
      </c>
      <c r="K7" s="45">
        <v>74</v>
      </c>
      <c r="L7" s="45">
        <v>63</v>
      </c>
      <c r="M7" s="45">
        <v>17</v>
      </c>
      <c r="N7" s="44">
        <f t="shared" si="1"/>
        <v>0.16</v>
      </c>
      <c r="O7" s="45">
        <v>2</v>
      </c>
      <c r="P7" s="44"/>
      <c r="Q7" s="58">
        <v>0</v>
      </c>
      <c r="R7" s="44">
        <v>472.5</v>
      </c>
      <c r="S7" s="58">
        <v>0</v>
      </c>
      <c r="T7" s="58">
        <v>0</v>
      </c>
      <c r="U7" s="44">
        <v>0</v>
      </c>
      <c r="V7" s="44">
        <v>1</v>
      </c>
      <c r="W7" s="58">
        <f t="shared" si="2"/>
        <v>472.5</v>
      </c>
      <c r="X7" s="62" t="s">
        <v>36</v>
      </c>
    </row>
    <row r="8" ht="14.4" customHeight="1" spans="1:24">
      <c r="A8" s="19"/>
      <c r="B8" s="7"/>
      <c r="C8" s="7"/>
      <c r="D8" s="7"/>
      <c r="E8" s="7"/>
      <c r="F8" s="7"/>
      <c r="G8" s="7"/>
      <c r="H8" s="7"/>
      <c r="I8" s="7"/>
      <c r="J8" s="44">
        <f t="shared" si="0"/>
        <v>15.75</v>
      </c>
      <c r="K8" s="45">
        <v>90</v>
      </c>
      <c r="L8" s="45">
        <v>70</v>
      </c>
      <c r="M8" s="45">
        <v>15</v>
      </c>
      <c r="N8" s="44">
        <f t="shared" si="1"/>
        <v>0.09</v>
      </c>
      <c r="O8" s="45">
        <v>1</v>
      </c>
      <c r="P8" s="44"/>
      <c r="Q8" s="58">
        <v>0</v>
      </c>
      <c r="R8" s="58">
        <v>0</v>
      </c>
      <c r="S8" s="58">
        <v>0</v>
      </c>
      <c r="T8" s="44">
        <v>100</v>
      </c>
      <c r="U8" s="44">
        <v>0</v>
      </c>
      <c r="V8" s="44">
        <v>1</v>
      </c>
      <c r="W8" s="58">
        <f t="shared" si="2"/>
        <v>100</v>
      </c>
      <c r="X8" s="62" t="s">
        <v>37</v>
      </c>
    </row>
    <row r="9" ht="14.4" customHeight="1" spans="1:24">
      <c r="A9" s="20" t="s">
        <v>38</v>
      </c>
      <c r="B9" s="20"/>
      <c r="C9" s="21"/>
      <c r="D9" s="21"/>
      <c r="E9" s="21"/>
      <c r="F9" s="21"/>
      <c r="G9" s="21"/>
      <c r="H9" s="19"/>
      <c r="I9" s="19"/>
      <c r="J9" s="46"/>
      <c r="K9" s="47"/>
      <c r="L9" s="47"/>
      <c r="M9" s="47"/>
      <c r="N9" s="47"/>
      <c r="O9" s="47"/>
      <c r="P9" s="46"/>
      <c r="Q9" s="63" t="s">
        <v>39</v>
      </c>
      <c r="R9" s="63"/>
      <c r="S9" s="63"/>
      <c r="T9" s="63"/>
      <c r="U9" s="63"/>
      <c r="V9" s="63"/>
      <c r="W9" s="58">
        <f>SUM(W5:W8)</f>
        <v>29018.8600697472</v>
      </c>
      <c r="X9" s="64"/>
    </row>
    <row r="10" ht="14.4" customHeight="1" spans="1:24">
      <c r="A10" s="22" t="s">
        <v>40</v>
      </c>
      <c r="B10" s="23"/>
      <c r="C10" s="24"/>
      <c r="D10" s="24"/>
      <c r="E10" s="24"/>
      <c r="F10" s="24"/>
      <c r="G10" s="24"/>
      <c r="H10" s="19"/>
      <c r="I10" s="19"/>
      <c r="J10" s="48"/>
      <c r="K10" s="47"/>
      <c r="L10" s="47"/>
      <c r="M10" s="47"/>
      <c r="N10" s="47"/>
      <c r="O10" s="47"/>
      <c r="P10" s="47"/>
      <c r="Q10" s="19"/>
      <c r="R10" s="19"/>
      <c r="S10" s="19"/>
      <c r="T10" s="19"/>
      <c r="U10" s="19"/>
      <c r="V10" s="19"/>
      <c r="W10" s="19"/>
      <c r="X10" s="65"/>
    </row>
    <row r="11" ht="14.4" customHeight="1" spans="1:24">
      <c r="A11" s="22" t="s">
        <v>41</v>
      </c>
      <c r="B11" s="23"/>
      <c r="C11" s="24"/>
      <c r="D11" s="24"/>
      <c r="E11" s="25"/>
      <c r="F11" s="25"/>
      <c r="G11" s="25"/>
      <c r="H11" s="19"/>
      <c r="I11" s="19"/>
      <c r="J11" s="4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5"/>
    </row>
    <row r="12" ht="14.4" customHeight="1" spans="1:24">
      <c r="A12" s="22" t="s">
        <v>42</v>
      </c>
      <c r="B12" s="23"/>
      <c r="C12" s="24"/>
      <c r="D12" s="24"/>
      <c r="E12" s="25"/>
      <c r="F12" s="25"/>
      <c r="G12" s="25"/>
      <c r="H12" s="19"/>
      <c r="I12" s="19"/>
      <c r="J12" s="4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5"/>
    </row>
    <row r="13" ht="14.4" customHeight="1" spans="1:24">
      <c r="A13" s="19"/>
      <c r="B13" s="19"/>
      <c r="C13" s="19"/>
      <c r="D13" s="19"/>
      <c r="E13" s="19"/>
      <c r="F13" s="19"/>
      <c r="G13" s="19"/>
      <c r="H13" s="19"/>
      <c r="I13" s="19"/>
      <c r="J13" s="4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6"/>
    </row>
    <row r="14" ht="14.4" customHeight="1" spans="1:24">
      <c r="A14" s="26" t="s">
        <v>43</v>
      </c>
      <c r="B14" s="26"/>
      <c r="C14" s="26"/>
      <c r="D14" s="26"/>
      <c r="E14" s="26"/>
      <c r="F14" s="26"/>
      <c r="G14" s="26"/>
      <c r="H14" s="26"/>
      <c r="I14" s="26"/>
      <c r="J14" s="49"/>
      <c r="K14" s="30"/>
      <c r="L14" s="30"/>
      <c r="M14" s="30"/>
      <c r="N14" s="30"/>
      <c r="O14" s="30"/>
      <c r="P14" s="26"/>
      <c r="Q14" s="26"/>
      <c r="R14" s="26"/>
      <c r="S14" s="26"/>
      <c r="T14" s="26"/>
      <c r="U14" s="26"/>
      <c r="V14" s="26"/>
      <c r="W14" s="26"/>
      <c r="X14" s="66"/>
    </row>
    <row r="15" ht="14.4" customHeight="1" spans="1:24">
      <c r="A15" s="26" t="s">
        <v>44</v>
      </c>
      <c r="B15" s="26"/>
      <c r="C15" s="26"/>
      <c r="D15" s="26"/>
      <c r="E15" s="26"/>
      <c r="F15" s="26"/>
      <c r="G15" s="26"/>
      <c r="H15" s="26"/>
      <c r="I15" s="26"/>
      <c r="J15" s="49"/>
      <c r="K15" s="30"/>
      <c r="L15" s="30"/>
      <c r="M15" s="30"/>
      <c r="N15" s="30"/>
      <c r="O15" s="30"/>
      <c r="P15" s="26"/>
      <c r="Q15" s="26"/>
      <c r="R15" s="26"/>
      <c r="S15" s="26"/>
      <c r="T15" s="26"/>
      <c r="U15" s="26"/>
      <c r="V15" s="26"/>
      <c r="W15" s="26"/>
      <c r="X15" s="66"/>
    </row>
    <row r="16" ht="14.4" customHeight="1" spans="1:24">
      <c r="A16" s="27"/>
      <c r="B16" s="27"/>
      <c r="C16" s="27"/>
      <c r="D16" s="27"/>
      <c r="E16" s="27"/>
      <c r="F16" s="27"/>
      <c r="G16" s="27"/>
      <c r="H16" s="19"/>
      <c r="I16" s="19"/>
      <c r="J16" s="4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14.4" customHeight="1" spans="1:24">
      <c r="A17" s="28" t="s">
        <v>45</v>
      </c>
      <c r="B17" s="28"/>
      <c r="C17" s="28"/>
      <c r="D17" s="28"/>
      <c r="E17" s="28"/>
      <c r="F17" s="28"/>
      <c r="G17" s="28"/>
      <c r="H17" s="29"/>
      <c r="I17" s="29"/>
      <c r="J17" s="5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ht="14.4" customHeight="1" spans="1:24">
      <c r="A18" s="26" t="s">
        <v>46</v>
      </c>
      <c r="B18" s="26"/>
      <c r="C18" s="26"/>
      <c r="D18" s="26"/>
      <c r="E18" s="26"/>
      <c r="F18" s="26"/>
      <c r="G18" s="26"/>
      <c r="H18" s="30"/>
      <c r="I18" s="30"/>
      <c r="J18" s="49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" customHeight="1" spans="1:23">
      <c r="A19" s="31"/>
      <c r="B19" s="31"/>
      <c r="C19" s="32"/>
      <c r="D19" s="32"/>
      <c r="E19" s="32"/>
      <c r="F19" s="32"/>
      <c r="G19" s="33"/>
      <c r="H19" s="34"/>
      <c r="I19" s="34"/>
      <c r="J19" s="51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ht="14.4" customHeight="1" spans="1:24">
      <c r="A20" s="35"/>
      <c r="B20" s="35"/>
      <c r="C20" s="36"/>
      <c r="D20" s="36"/>
      <c r="E20" s="36"/>
      <c r="F20" s="36"/>
      <c r="G20" s="37"/>
      <c r="H20" s="38"/>
      <c r="I20" s="38"/>
      <c r="J20" s="52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66"/>
    </row>
    <row r="21" ht="14.4" customHeight="1" spans="1:23">
      <c r="A21" s="39"/>
      <c r="B21" s="39"/>
      <c r="C21" s="39"/>
      <c r="D21" s="39"/>
      <c r="E21" s="39"/>
      <c r="F21" s="39"/>
      <c r="G21" s="39"/>
      <c r="H21" s="39"/>
      <c r="I21" s="39"/>
      <c r="J21" s="53"/>
      <c r="K21" s="54"/>
      <c r="L21" s="54"/>
      <c r="M21" s="54"/>
      <c r="N21" s="54"/>
      <c r="O21" s="54"/>
      <c r="P21" s="39"/>
      <c r="Q21" s="39"/>
      <c r="R21" s="39"/>
      <c r="S21" s="39"/>
      <c r="T21" s="39"/>
      <c r="U21" s="39"/>
      <c r="V21" s="39"/>
      <c r="W21" s="39"/>
    </row>
  </sheetData>
  <mergeCells count="12">
    <mergeCell ref="A1:X1"/>
    <mergeCell ref="A2:X2"/>
    <mergeCell ref="A9:G9"/>
    <mergeCell ref="Q9:V9"/>
    <mergeCell ref="A14:Q14"/>
    <mergeCell ref="A15:Q15"/>
    <mergeCell ref="A17:X17"/>
    <mergeCell ref="A18:X18"/>
    <mergeCell ref="A19:G19"/>
    <mergeCell ref="A20:G20"/>
    <mergeCell ref="A21:Q21"/>
    <mergeCell ref="P5:P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Whitney(曾慧如)</cp:lastModifiedBy>
  <dcterms:created xsi:type="dcterms:W3CDTF">2025-10-22T07:28:00Z</dcterms:created>
  <dcterms:modified xsi:type="dcterms:W3CDTF">2025-11-25T06:50:31Z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19F96A507FD34009BB690444A77686E8_13</vt:lpwstr>
  </property>
  <property fmtid="{D5CDD505-2E9C-101B-9397-08002B2CF9AE}" pid="3" name="KSOProductBuildVer">
    <vt:lpwstr>2052-12.1.0.23125</vt:lpwstr>
  </property>
</Properties>
</file>